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07_FA" sheetId="1" r:id="rId4"/>
  </sheets>
  <definedNames/>
  <calcPr/>
  <extLst>
    <ext uri="GoogleSheetsCustomDataVersion2">
      <go:sheetsCustomData xmlns:go="http://customooxmlschemas.google.com/" r:id="rId5" roundtripDataChecksum="XGHoUtwh714h22oqucRRnopWf5O54bVGUyF8h3Jjsso="/>
    </ext>
  </extLst>
</workbook>
</file>

<file path=xl/sharedStrings.xml><?xml version="1.0" encoding="utf-8"?>
<sst xmlns="http://schemas.openxmlformats.org/spreadsheetml/2006/main" count="44" uniqueCount="36">
  <si>
    <t>Financial Analysis for RoadGuardian</t>
  </si>
  <si>
    <t>Created by: Luigi Consiglio, Eljon Hida</t>
  </si>
  <si>
    <t>Discount rate</t>
  </si>
  <si>
    <t>Assume the project is completed in Year 0</t>
  </si>
  <si>
    <t>Year</t>
  </si>
  <si>
    <t>Total</t>
  </si>
  <si>
    <t>Costs</t>
  </si>
  <si>
    <t>Discount factor</t>
  </si>
  <si>
    <t>Discounted costs</t>
  </si>
  <si>
    <t>Benefits</t>
  </si>
  <si>
    <t>Discounted benefits</t>
  </si>
  <si>
    <t>Discounted benefits - costs</t>
  </si>
  <si>
    <t>NPV</t>
  </si>
  <si>
    <t>Cumulative benefits - costs</t>
  </si>
  <si>
    <t>ROI</t>
  </si>
  <si>
    <t>Payback in Year 1</t>
  </si>
  <si>
    <t>Assumptions</t>
  </si>
  <si>
    <t>N. Resources</t>
  </si>
  <si>
    <t>Cost/Hour</t>
  </si>
  <si>
    <t>Hour</t>
  </si>
  <si>
    <t>Total cost</t>
  </si>
  <si>
    <t>Project Manager</t>
  </si>
  <si>
    <t>Team Leader</t>
  </si>
  <si>
    <t>Sviluppatore</t>
  </si>
  <si>
    <t>Software e hosting</t>
  </si>
  <si>
    <t>Licenze</t>
  </si>
  <si>
    <t>Total Project Costs (applied in year 0)</t>
  </si>
  <si>
    <t>€</t>
  </si>
  <si>
    <t>Project Costs (applied in year 1/2/3)</t>
  </si>
  <si>
    <t>Manutenzione tecnica</t>
  </si>
  <si>
    <t>Campagne di marketing</t>
  </si>
  <si>
    <t>Total Project Costs (applied in year 1/2/3)</t>
  </si>
  <si>
    <t>Riduzione incidenti secondari</t>
  </si>
  <si>
    <t>Riduzione del tempo medio di intervento</t>
  </si>
  <si>
    <t>Riduzione spese sanitarie</t>
  </si>
  <si>
    <t>Total Project Benefits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</si>
</sst>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9">
    <font>
      <sz val="10.0"/>
      <color rgb="FF000000"/>
      <name val="Calibri"/>
      <scheme val="minor"/>
    </font>
    <font>
      <b/>
      <sz val="18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00B050"/>
      <name val="Arial"/>
    </font>
    <font>
      <color theme="1"/>
      <name val="Calibri"/>
    </font>
    <font>
      <sz val="1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10" xfId="0" applyAlignment="1" applyFont="1" applyNumberFormat="1">
      <alignment readingOrder="0"/>
    </xf>
    <xf borderId="0" fillId="0" fontId="4" numFmtId="9" xfId="0" applyFont="1" applyNumberFormat="1"/>
    <xf borderId="0" fillId="0" fontId="6" numFmtId="0" xfId="0" applyFont="1"/>
    <xf borderId="0" fillId="0" fontId="5" numFmtId="0" xfId="0" applyFont="1"/>
    <xf borderId="0" fillId="0" fontId="5" numFmtId="3" xfId="0" applyFont="1" applyNumberFormat="1"/>
    <xf borderId="0" fillId="0" fontId="3" numFmtId="2" xfId="0" applyFont="1" applyNumberFormat="1"/>
    <xf borderId="0" fillId="0" fontId="4" numFmtId="164" xfId="0" applyFont="1" applyNumberFormat="1"/>
    <xf borderId="0" fillId="0" fontId="5" numFmtId="37" xfId="0" applyFont="1" applyNumberFormat="1"/>
    <xf borderId="0" fillId="0" fontId="3" numFmtId="164" xfId="0" applyFont="1" applyNumberFormat="1"/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3" numFmtId="0" xfId="0" applyFont="1"/>
    <xf borderId="0" fillId="0" fontId="6" numFmtId="0" xfId="0" applyAlignment="1" applyFont="1">
      <alignment readingOrder="0"/>
    </xf>
    <xf borderId="0" fillId="0" fontId="3" numFmtId="3" xfId="0" applyFont="1" applyNumberFormat="1"/>
    <xf borderId="0" fillId="0" fontId="3" numFmtId="0" xfId="0" applyAlignment="1" applyFont="1">
      <alignment readingOrder="0"/>
    </xf>
    <xf borderId="0" fillId="0" fontId="3" numFmtId="1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4" numFmtId="3" xfId="0" applyFont="1" applyNumberForma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11.43"/>
    <col customWidth="1" min="3" max="26" width="8.71"/>
  </cols>
  <sheetData>
    <row r="1" ht="22.5" customHeight="1">
      <c r="A1" s="1" t="s">
        <v>0</v>
      </c>
    </row>
    <row r="2" ht="12.75" customHeight="1"/>
    <row r="3" ht="15.75" customHeight="1">
      <c r="A3" s="2" t="s">
        <v>1</v>
      </c>
    </row>
    <row r="4" ht="12.75" customHeight="1">
      <c r="A4" s="3"/>
      <c r="B4" s="3"/>
      <c r="C4" s="3"/>
      <c r="D4" s="3"/>
      <c r="E4" s="3"/>
      <c r="F4" s="3"/>
      <c r="G4" s="3"/>
    </row>
    <row r="5" ht="12.75" customHeight="1">
      <c r="A5" s="4" t="s">
        <v>2</v>
      </c>
      <c r="B5" s="5">
        <v>0.05</v>
      </c>
    </row>
    <row r="6" ht="12.75" customHeight="1">
      <c r="A6" s="4"/>
      <c r="B6" s="6"/>
    </row>
    <row r="7" ht="12.75" customHeight="1">
      <c r="A7" s="7" t="s">
        <v>3</v>
      </c>
      <c r="D7" s="4" t="s">
        <v>4</v>
      </c>
      <c r="F7" s="4"/>
    </row>
    <row r="8" ht="12.75" customHeight="1">
      <c r="B8" s="8">
        <v>0.0</v>
      </c>
      <c r="C8" s="8">
        <v>1.0</v>
      </c>
      <c r="D8" s="8">
        <v>2.0</v>
      </c>
      <c r="E8" s="8">
        <v>3.0</v>
      </c>
      <c r="F8" s="4" t="s">
        <v>5</v>
      </c>
    </row>
    <row r="9" ht="12.75" customHeight="1">
      <c r="A9" s="7" t="s">
        <v>6</v>
      </c>
      <c r="B9" s="9">
        <f> F30</f>
        <v>78500</v>
      </c>
      <c r="C9" s="9">
        <f> F38</f>
        <v>40000</v>
      </c>
      <c r="D9" s="9">
        <f> F38</f>
        <v>40000</v>
      </c>
      <c r="E9" s="9">
        <f> F38</f>
        <v>40000</v>
      </c>
    </row>
    <row r="10" ht="12.75" customHeight="1">
      <c r="A10" s="7" t="s">
        <v>7</v>
      </c>
      <c r="B10" s="10">
        <f t="shared" ref="B10:E10" si="1">ROUND(1/(1+$B$5)^B$8,2)</f>
        <v>1</v>
      </c>
      <c r="C10" s="10">
        <f t="shared" si="1"/>
        <v>0.95</v>
      </c>
      <c r="D10" s="10">
        <f t="shared" si="1"/>
        <v>0.91</v>
      </c>
      <c r="E10" s="10">
        <f t="shared" si="1"/>
        <v>0.86</v>
      </c>
    </row>
    <row r="11" ht="12.75" customHeight="1">
      <c r="A11" s="4" t="s">
        <v>8</v>
      </c>
      <c r="B11" s="11">
        <f t="shared" ref="B11:E11" si="2">B9*B10</f>
        <v>78500</v>
      </c>
      <c r="C11" s="11">
        <f t="shared" si="2"/>
        <v>38000</v>
      </c>
      <c r="D11" s="11">
        <f t="shared" si="2"/>
        <v>36400</v>
      </c>
      <c r="E11" s="11">
        <f t="shared" si="2"/>
        <v>34400</v>
      </c>
      <c r="F11" s="11">
        <f>SUM(B11:E11)</f>
        <v>187300</v>
      </c>
    </row>
    <row r="12" ht="12.75" customHeight="1"/>
    <row r="13" ht="12.75" customHeight="1">
      <c r="A13" s="7" t="s">
        <v>9</v>
      </c>
      <c r="B13" s="12">
        <v>0.0</v>
      </c>
      <c r="C13" s="12">
        <f> F45</f>
        <v>320000</v>
      </c>
      <c r="D13" s="12">
        <f> F45</f>
        <v>320000</v>
      </c>
      <c r="E13" s="12">
        <f> F45</f>
        <v>320000</v>
      </c>
    </row>
    <row r="14" ht="12.75" customHeight="1">
      <c r="A14" s="7" t="s">
        <v>7</v>
      </c>
      <c r="B14" s="10">
        <f t="shared" ref="B14:E14" si="3">ROUND(1/(1+$B$5)^B$8,2)</f>
        <v>1</v>
      </c>
      <c r="C14" s="10">
        <f t="shared" si="3"/>
        <v>0.95</v>
      </c>
      <c r="D14" s="10">
        <f t="shared" si="3"/>
        <v>0.91</v>
      </c>
      <c r="E14" s="10">
        <f t="shared" si="3"/>
        <v>0.86</v>
      </c>
    </row>
    <row r="15" ht="12.75" customHeight="1">
      <c r="A15" s="4" t="s">
        <v>10</v>
      </c>
      <c r="B15" s="4">
        <f t="shared" ref="B15:E15" si="4">B13*B14</f>
        <v>0</v>
      </c>
      <c r="C15" s="11">
        <f t="shared" si="4"/>
        <v>304000</v>
      </c>
      <c r="D15" s="11">
        <f t="shared" si="4"/>
        <v>291200</v>
      </c>
      <c r="E15" s="11">
        <f t="shared" si="4"/>
        <v>275200</v>
      </c>
      <c r="F15" s="11">
        <f>SUM(B15:E15)</f>
        <v>870400</v>
      </c>
    </row>
    <row r="16" ht="12.75" customHeight="1"/>
    <row r="17" ht="12.75" customHeight="1">
      <c r="A17" s="7" t="s">
        <v>11</v>
      </c>
      <c r="B17" s="13">
        <f t="shared" ref="B17:F17" si="5">B15-B11</f>
        <v>-78500</v>
      </c>
      <c r="C17" s="13">
        <f t="shared" si="5"/>
        <v>266000</v>
      </c>
      <c r="D17" s="13">
        <f t="shared" si="5"/>
        <v>254800</v>
      </c>
      <c r="E17" s="13">
        <f t="shared" si="5"/>
        <v>240800</v>
      </c>
      <c r="F17" s="11">
        <f t="shared" si="5"/>
        <v>683100</v>
      </c>
      <c r="G17" s="14" t="s">
        <v>12</v>
      </c>
    </row>
    <row r="18" ht="12.75" customHeight="1">
      <c r="A18" s="7" t="s">
        <v>13</v>
      </c>
      <c r="B18" s="13">
        <f>B17</f>
        <v>-78500</v>
      </c>
      <c r="C18" s="13">
        <f t="shared" ref="C18:E18" si="6">B18+C17</f>
        <v>187500</v>
      </c>
      <c r="D18" s="13">
        <f t="shared" si="6"/>
        <v>442300</v>
      </c>
      <c r="E18" s="13">
        <f t="shared" si="6"/>
        <v>683100</v>
      </c>
    </row>
    <row r="19" ht="12.75" customHeight="1"/>
    <row r="20" ht="12.75" customHeight="1">
      <c r="A20" s="4" t="s">
        <v>14</v>
      </c>
      <c r="B20" s="6">
        <f>(F15-F11)/F11</f>
        <v>3.64709023</v>
      </c>
    </row>
    <row r="21" ht="12.75" customHeight="1">
      <c r="B21" s="15" t="s">
        <v>15</v>
      </c>
    </row>
    <row r="22" ht="12.75" customHeight="1">
      <c r="A22" s="4" t="s">
        <v>16</v>
      </c>
    </row>
    <row r="23" ht="12.75" customHeight="1">
      <c r="A23" s="4" t="s">
        <v>6</v>
      </c>
      <c r="B23" s="7" t="s">
        <v>17</v>
      </c>
      <c r="C23" s="7" t="s">
        <v>18</v>
      </c>
      <c r="D23" s="16" t="s">
        <v>19</v>
      </c>
      <c r="F23" s="16" t="s">
        <v>20</v>
      </c>
    </row>
    <row r="24" ht="12.75" customHeight="1">
      <c r="A24" s="17" t="s">
        <v>21</v>
      </c>
      <c r="B24" s="18">
        <v>1.0</v>
      </c>
      <c r="C24" s="18">
        <v>40.0</v>
      </c>
      <c r="D24" s="18">
        <v>400.0</v>
      </c>
      <c r="F24" s="19">
        <f t="shared" ref="F24:F26" si="7"> MULTIPLY(C24,D24)</f>
        <v>16000</v>
      </c>
    </row>
    <row r="25" ht="12.75" customHeight="1">
      <c r="A25" s="17" t="s">
        <v>22</v>
      </c>
      <c r="B25" s="7">
        <v>1.0</v>
      </c>
      <c r="C25" s="18">
        <v>35.0</v>
      </c>
      <c r="D25" s="18">
        <v>400.0</v>
      </c>
      <c r="F25" s="19">
        <f t="shared" si="7"/>
        <v>14000</v>
      </c>
    </row>
    <row r="26" ht="12.75" customHeight="1">
      <c r="A26" s="17" t="s">
        <v>23</v>
      </c>
      <c r="B26" s="18">
        <v>3.0</v>
      </c>
      <c r="C26" s="7">
        <v>30.0</v>
      </c>
      <c r="D26" s="18">
        <v>1200.0</v>
      </c>
      <c r="F26" s="19">
        <f t="shared" si="7"/>
        <v>36000</v>
      </c>
    </row>
    <row r="27" ht="12.75" customHeight="1">
      <c r="A27" s="20" t="s">
        <v>24</v>
      </c>
      <c r="F27" s="21">
        <v>10500.0</v>
      </c>
    </row>
    <row r="28" ht="12.75" customHeight="1">
      <c r="A28" s="20" t="s">
        <v>25</v>
      </c>
      <c r="F28" s="22">
        <v>2000.0</v>
      </c>
    </row>
    <row r="29" ht="12.75" customHeight="1">
      <c r="A29" s="4"/>
      <c r="F29" s="19"/>
      <c r="G29" s="4"/>
    </row>
    <row r="30" ht="12.75" customHeight="1">
      <c r="A30" s="4" t="s">
        <v>26</v>
      </c>
      <c r="F30" s="23">
        <f> SUM(F24:F28)</f>
        <v>78500</v>
      </c>
      <c r="G30" s="4" t="s">
        <v>27</v>
      </c>
    </row>
    <row r="31" ht="12.75" customHeight="1">
      <c r="A31" s="4"/>
    </row>
    <row r="32" ht="12.75" customHeight="1">
      <c r="A32" s="4" t="s">
        <v>28</v>
      </c>
    </row>
    <row r="33" ht="12.75" customHeight="1">
      <c r="A33" s="4" t="s">
        <v>6</v>
      </c>
      <c r="F33" s="7" t="s">
        <v>20</v>
      </c>
    </row>
    <row r="34" ht="12.75" customHeight="1">
      <c r="A34" s="17" t="s">
        <v>29</v>
      </c>
      <c r="B34" s="24"/>
      <c r="C34" s="24"/>
      <c r="F34" s="22">
        <v>18000.0</v>
      </c>
    </row>
    <row r="35" ht="12.75" customHeight="1">
      <c r="A35" s="20" t="s">
        <v>24</v>
      </c>
      <c r="F35" s="22">
        <v>10000.0</v>
      </c>
    </row>
    <row r="36" ht="12.75" customHeight="1">
      <c r="A36" s="17" t="s">
        <v>30</v>
      </c>
      <c r="F36" s="22">
        <v>12000.0</v>
      </c>
    </row>
    <row r="37" ht="12.75" customHeight="1">
      <c r="A37" s="17"/>
      <c r="F37" s="19"/>
    </row>
    <row r="38" ht="12.75" customHeight="1">
      <c r="A38" s="4" t="s">
        <v>31</v>
      </c>
      <c r="F38" s="23">
        <f> SUM(F34:F37)</f>
        <v>40000</v>
      </c>
      <c r="G38" s="4" t="s">
        <v>27</v>
      </c>
    </row>
    <row r="39" ht="12.75" customHeight="1"/>
    <row r="40" ht="12.75" customHeight="1">
      <c r="A40" s="4" t="s">
        <v>9</v>
      </c>
    </row>
    <row r="41" ht="12.75" customHeight="1">
      <c r="A41" s="20" t="s">
        <v>32</v>
      </c>
      <c r="F41" s="22">
        <v>55000.0</v>
      </c>
    </row>
    <row r="42" ht="12.75" customHeight="1">
      <c r="A42" s="20" t="s">
        <v>33</v>
      </c>
      <c r="F42" s="22">
        <v>150000.0</v>
      </c>
    </row>
    <row r="43" ht="12.75" customHeight="1">
      <c r="A43" s="20" t="s">
        <v>34</v>
      </c>
      <c r="F43" s="22">
        <v>115000.0</v>
      </c>
    </row>
    <row r="44" ht="12.75" customHeight="1">
      <c r="F44" s="19"/>
      <c r="G44" s="4"/>
    </row>
    <row r="45" ht="12.75" customHeight="1">
      <c r="A45" s="4" t="s">
        <v>35</v>
      </c>
      <c r="F45" s="23">
        <f> SUM(F41:F43)</f>
        <v>320000</v>
      </c>
      <c r="G45" s="4" t="s">
        <v>27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</sheetData>
  <mergeCells count="3">
    <mergeCell ref="A1:G1"/>
    <mergeCell ref="A3:G3"/>
    <mergeCell ref="B21:D21"/>
  </mergeCells>
  <printOptions gridLines="1"/>
  <pageMargins bottom="0.39370078740157477" footer="0.0" header="0.0" left="0.7874015748031495" right="0.7874015748031495" top="0.39370078740157477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2003-02-20T16:30:31Z</dcterms:created>
  <dc:creator>IT Department</dc:creator>
</cp:coreProperties>
</file>